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 Spare PC\Downloads\"/>
    </mc:Choice>
  </mc:AlternateContent>
  <xr:revisionPtr revIDLastSave="0" documentId="8_{B0C3333E-46B0-404C-B2C5-62992BD6DB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ient_Hiring" sheetId="2" r:id="rId1"/>
    <sheet name="Time_to_Hire" sheetId="3" r:id="rId2"/>
    <sheet name="Dashboard" sheetId="5" r:id="rId3"/>
    <sheet name="Offers_vs_Joins" sheetId="4" r:id="rId4"/>
    <sheet name="Raw_Data" sheetId="1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H3" i="1"/>
  <c r="H2" i="1"/>
</calcChain>
</file>

<file path=xl/sharedStrings.xml><?xml version="1.0" encoding="utf-8"?>
<sst xmlns="http://schemas.openxmlformats.org/spreadsheetml/2006/main" count="31" uniqueCount="21">
  <si>
    <t>Client</t>
  </si>
  <si>
    <t>Job_Title</t>
  </si>
  <si>
    <t>Open_Date</t>
  </si>
  <si>
    <t>Close_Date</t>
  </si>
  <si>
    <t>Candidate_Name</t>
  </si>
  <si>
    <t>Offer_Date</t>
  </si>
  <si>
    <t>Join_Date</t>
  </si>
  <si>
    <t xml:space="preserve">ABC Corp </t>
  </si>
  <si>
    <t>SQL Developer</t>
  </si>
  <si>
    <t xml:space="preserve">Ravi Kumar </t>
  </si>
  <si>
    <t>XYZ Ltd</t>
  </si>
  <si>
    <t>Data Analyst</t>
  </si>
  <si>
    <t>Anita Sharma</t>
  </si>
  <si>
    <t>Time_to_Hire</t>
  </si>
  <si>
    <t>Offer_Status</t>
  </si>
  <si>
    <t>Row Labels</t>
  </si>
  <si>
    <t>Grand Total</t>
  </si>
  <si>
    <t>Joined</t>
  </si>
  <si>
    <t>Offered</t>
  </si>
  <si>
    <t>Sum of Time_to_Hire</t>
  </si>
  <si>
    <t>Count of Offer_Status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</si>
</sst>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[recruitment_dashboard.xlsx]Offers_vs_Joins!PivotTable3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Offers_vs_Joins!$B$3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Offers_vs_Joins!$A$4:$A$6</c:f>
              <c:strCache>
                <c:ptCount val="2"/>
                <c:pt idx="0">
                  <c:v>Joined</c:v>
                </c:pt>
                <c:pt idx="1">
                  <c:v>Offered</c:v>
                </c:pt>
              </c:strCache>
            </c:strRef>
          </c:cat>
          <c:val>
            <c:numRef>
              <c:f>Offers_vs_Joins!$B$4:$B$6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0-41B4-85BD-20852739D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485423"/>
        <c:axId val="1202192799"/>
      </c:barChart>
      <c:catAx>
        <c:axId val="19074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92799"/>
        <c:crosses val="autoZero"/>
        <c:auto val="1"/>
        <c:lblAlgn val="ctr"/>
        <c:lblOffset val="100"/>
        <c:noMultiLvlLbl val="0"/>
      </c:catAx>
      <c:valAx>
        <c:axId val="12021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[recruitment_dashboard.xlsx]Offers_vs_Joins!PivotTable3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Offers_vs_Joins!$B$3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Offers_vs_Joins!$A$4:$A$6</c:f>
              <c:strCache>
                <c:ptCount val="2"/>
                <c:pt idx="0">
                  <c:v>Joined</c:v>
                </c:pt>
                <c:pt idx="1">
                  <c:v>Offered</c:v>
                </c:pt>
              </c:strCache>
            </c:strRef>
          </c:cat>
          <c:val>
            <c:numRef>
              <c:f>Offers_vs_Joins!$B$4:$B$6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A-45D1-B9D6-CE199AC55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485423"/>
        <c:axId val="1202192799"/>
      </c:barChart>
      <c:catAx>
        <c:axId val="19074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92799"/>
        <c:crosses val="autoZero"/>
        <c:auto val="1"/>
        <c:lblAlgn val="ctr"/>
        <c:lblOffset val="100"/>
        <c:noMultiLvlLbl val="0"/>
      </c:catAx>
      <c:valAx>
        <c:axId val="12021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15DBF-F93B-48DE-96B2-706E8D5F4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6</xdr:row>
      <xdr:rowOff>41910</xdr:rowOff>
    </xdr:from>
    <xdr:to>
      <xdr:col>11</xdr:col>
      <xdr:colOff>15240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2C03D-1841-B126-4376-7AF487CE6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Spare PC" refreshedDate="46041.597388657407" createdVersion="8" refreshedVersion="8" minRefreshableVersion="3" recordCount="2" xr:uid="{2F8D8DAB-893F-487D-B244-4B86F17EEC7E}">
  <cacheSource type="worksheet">
    <worksheetSource ref="A1:I3" sheet="Raw_Data"/>
  </cacheSource>
  <cacheFields count="9">
    <cacheField name="Client" numFmtId="0">
      <sharedItems count="2">
        <s v="ABC Corp "/>
        <s v="XYZ Ltd"/>
      </sharedItems>
    </cacheField>
    <cacheField name="Job_Title" numFmtId="0">
      <sharedItems count="2">
        <s v="SQL Developer"/>
        <s v="Data Analyst"/>
      </sharedItems>
    </cacheField>
    <cacheField name="Open_Date" numFmtId="14">
      <sharedItems containsSemiMixedTypes="0" containsNonDate="0" containsDate="1" containsString="0" minDate="2025-01-01T00:00:00" maxDate="2025-01-06T00:00:00"/>
    </cacheField>
    <cacheField name="Close_Date" numFmtId="14">
      <sharedItems containsSemiMixedTypes="0" containsNonDate="0" containsDate="1" containsString="0" minDate="2025-01-20T00:00:00" maxDate="2025-01-26T00:00:00"/>
    </cacheField>
    <cacheField name="Candidate_Name" numFmtId="0">
      <sharedItems/>
    </cacheField>
    <cacheField name="Offer_Date" numFmtId="14">
      <sharedItems containsSemiMixedTypes="0" containsNonDate="0" containsDate="1" containsString="0" minDate="2025-01-18T00:00:00" maxDate="2025-01-21T00:00:00" count="2">
        <d v="2025-01-18T00:00:00"/>
        <d v="2025-01-20T00:00:00"/>
      </sharedItems>
    </cacheField>
    <cacheField name="Join_Date" numFmtId="0">
      <sharedItems containsNonDate="0" containsDate="1" containsString="0" containsBlank="1" minDate="2025-01-25T00:00:00" maxDate="2025-01-26T00:00:00"/>
    </cacheField>
    <cacheField name="Time_to_Hire" numFmtId="0">
      <sharedItems containsSemiMixedTypes="0" containsString="0" containsNumber="1" containsInteger="1" minValue="19" maxValue="20"/>
    </cacheField>
    <cacheField name="Offer_Status" numFmtId="0">
      <sharedItems count="2">
        <s v="Joined"/>
        <s v="Off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d v="2025-01-01T00:00:00"/>
    <d v="2025-01-20T00:00:00"/>
    <s v="Ravi Kumar "/>
    <x v="0"/>
    <d v="2025-01-25T00:00:00"/>
    <n v="19"/>
    <x v="0"/>
  </r>
  <r>
    <x v="1"/>
    <x v="1"/>
    <d v="2025-01-05T00:00:00"/>
    <d v="2025-01-25T00:00:00"/>
    <s v="Anita Sharma"/>
    <x v="1"/>
    <m/>
    <n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20D5D-F6D3-4359-B421-1AB302F4EFD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/>
  <pivotFields count="9">
    <pivotField axis="axisRow"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0"/>
    <field x="8"/>
  </rowFields>
  <rowItems count="5">
    <i>
      <x/>
    </i>
    <i r="1">
      <x/>
    </i>
    <i>
      <x v="1"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26691-83CE-485A-B509-4D24AE0AE80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axis="axisRow" showAll="0">
      <items count="3">
        <item x="1"/>
        <item x="0"/>
        <item t="default"/>
      </items>
    </pivotField>
    <pivotField numFmtId="14" showAll="0"/>
    <pivotField numFmtId="14" showAll="0"/>
    <pivotField showAll="0"/>
    <pivotField numFmtId="14"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Time_to_Hir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713D5-8FB6-44FB-9462-66695E6F309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9">
    <pivotField showAll="0"/>
    <pivotField showAll="0"/>
    <pivotField numFmtId="14" showAll="0"/>
    <pivotField numFmtId="14" showAll="0"/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ffer_Status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7F09-8FE1-4242-9FD5-01DB601645B2}">
  <dimension ref="A3:A8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</cols>
  <sheetData>
    <row r="3" spans="1:1" x14ac:dyDescent="0.3">
      <c r="A3" s="5" t="s">
        <v>15</v>
      </c>
    </row>
    <row r="4" spans="1:1" x14ac:dyDescent="0.3">
      <c r="A4" s="6" t="s">
        <v>7</v>
      </c>
    </row>
    <row r="5" spans="1:1" x14ac:dyDescent="0.3">
      <c r="A5" s="7" t="s">
        <v>17</v>
      </c>
    </row>
    <row r="6" spans="1:1" x14ac:dyDescent="0.3">
      <c r="A6" s="6" t="s">
        <v>10</v>
      </c>
    </row>
    <row r="7" spans="1:1" x14ac:dyDescent="0.3">
      <c r="A7" s="7" t="s">
        <v>18</v>
      </c>
    </row>
    <row r="8" spans="1:1" x14ac:dyDescent="0.3">
      <c r="A8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5D2B-9EC3-4446-88AB-D2E73C4AC72C}">
  <dimension ref="A3:B6"/>
  <sheetViews>
    <sheetView workbookViewId="0">
      <selection activeCell="I11" sqref="I11"/>
    </sheetView>
  </sheetViews>
  <sheetFormatPr defaultRowHeight="14.4" x14ac:dyDescent="0.3"/>
  <cols>
    <col min="1" max="1" width="12.88671875" bestFit="1" customWidth="1"/>
    <col min="2" max="2" width="18.88671875" bestFit="1" customWidth="1"/>
  </cols>
  <sheetData>
    <row r="3" spans="1:2" x14ac:dyDescent="0.3">
      <c r="A3" s="5" t="s">
        <v>15</v>
      </c>
      <c r="B3" t="s">
        <v>19</v>
      </c>
    </row>
    <row r="4" spans="1:2" x14ac:dyDescent="0.3">
      <c r="A4" s="6" t="s">
        <v>11</v>
      </c>
      <c r="B4" s="8">
        <v>20</v>
      </c>
    </row>
    <row r="5" spans="1:2" x14ac:dyDescent="0.3">
      <c r="A5" s="6" t="s">
        <v>8</v>
      </c>
      <c r="B5" s="8">
        <v>19</v>
      </c>
    </row>
    <row r="6" spans="1:2" x14ac:dyDescent="0.3">
      <c r="A6" s="6" t="s">
        <v>16</v>
      </c>
      <c r="B6" s="8">
        <v>39</v>
      </c>
    </row>
  </sheetData>
  <conditionalFormatting sqref="B3:B5"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09F2-3DFB-4C5D-AB48-8AF8A684E848}">
  <dimension ref="A1"/>
  <sheetViews>
    <sheetView tabSelected="1"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7E98-233E-4BB3-A5B9-357A3C2BB608}">
  <dimension ref="A3:B6"/>
  <sheetViews>
    <sheetView workbookViewId="0">
      <selection activeCell="P10" sqref="P10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5" t="s">
        <v>15</v>
      </c>
      <c r="B3" t="s">
        <v>20</v>
      </c>
    </row>
    <row r="4" spans="1:2" x14ac:dyDescent="0.3">
      <c r="A4" s="6" t="s">
        <v>17</v>
      </c>
      <c r="B4" s="8">
        <v>1</v>
      </c>
    </row>
    <row r="5" spans="1:2" x14ac:dyDescent="0.3">
      <c r="A5" s="6" t="s">
        <v>18</v>
      </c>
      <c r="B5" s="8">
        <v>1</v>
      </c>
    </row>
    <row r="6" spans="1:2" x14ac:dyDescent="0.3">
      <c r="A6" s="6" t="s">
        <v>16</v>
      </c>
      <c r="B6" s="8">
        <v>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sqref="A1:I3"/>
    </sheetView>
  </sheetViews>
  <sheetFormatPr defaultRowHeight="14.4" x14ac:dyDescent="0.3"/>
  <cols>
    <col min="1" max="1" width="9.109375" bestFit="1" customWidth="1"/>
    <col min="2" max="2" width="12.88671875" bestFit="1" customWidth="1"/>
    <col min="3" max="4" width="10.33203125" bestFit="1" customWidth="1"/>
    <col min="5" max="5" width="15.21875" bestFit="1" customWidth="1"/>
    <col min="6" max="7" width="10.33203125" bestFit="1" customWidth="1"/>
    <col min="8" max="8" width="12.109375" bestFit="1" customWidth="1"/>
    <col min="9" max="9" width="11.3320312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4" t="s">
        <v>14</v>
      </c>
    </row>
    <row r="2" spans="1:9" x14ac:dyDescent="0.3">
      <c r="A2" s="2" t="s">
        <v>7</v>
      </c>
      <c r="B2" s="2" t="s">
        <v>8</v>
      </c>
      <c r="C2" s="3">
        <v>45658</v>
      </c>
      <c r="D2" s="3">
        <v>45677</v>
      </c>
      <c r="E2" s="2" t="s">
        <v>9</v>
      </c>
      <c r="F2" s="3">
        <v>45675</v>
      </c>
      <c r="G2" s="3">
        <v>45682</v>
      </c>
      <c r="H2" s="2">
        <f>D2-C2</f>
        <v>19</v>
      </c>
      <c r="I2" s="2" t="str">
        <f>IF(G2&lt;&gt;"","Joined","Offered")</f>
        <v>Joined</v>
      </c>
    </row>
    <row r="3" spans="1:9" x14ac:dyDescent="0.3">
      <c r="A3" s="2" t="s">
        <v>10</v>
      </c>
      <c r="B3" s="2" t="s">
        <v>11</v>
      </c>
      <c r="C3" s="3">
        <v>45662</v>
      </c>
      <c r="D3" s="3">
        <v>45682</v>
      </c>
      <c r="E3" s="2" t="s">
        <v>12</v>
      </c>
      <c r="F3" s="3">
        <v>45677</v>
      </c>
      <c r="G3" s="2"/>
      <c r="H3" s="2">
        <f>D3-C3</f>
        <v>20</v>
      </c>
      <c r="I3" s="2" t="str">
        <f>IF(G3&lt;&gt;"","Joined","Offered")</f>
        <v>Offered</v>
      </c>
    </row>
    <row r="8" spans="1:9" x14ac:dyDescent="0.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Client_Hiring</vt:lpstr>
      <vt:lpstr>Time_to_Hire</vt:lpstr>
      <vt:lpstr>Dashboard</vt:lpstr>
      <vt:lpstr>Offers_vs_Joins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 Venkatesh</cp:lastModifiedBy>
  <dcterms:created xsi:type="dcterms:W3CDTF">2015-06-05T18:17:20Z</dcterms:created>
  <dcterms:modified xsi:type="dcterms:W3CDTF">2026-01-19T08:59:44Z</dcterms:modified>
</cp:coreProperties>
</file>